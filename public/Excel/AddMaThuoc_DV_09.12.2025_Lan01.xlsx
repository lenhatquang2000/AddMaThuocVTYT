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hGia\Downloads\"/>
    </mc:Choice>
  </mc:AlternateContent>
  <xr:revisionPtr revIDLastSave="0" documentId="13_ncr:1_{A43F67CA-A833-4F13-AEED-2EF3BBAE6AFD}" xr6:coauthVersionLast="47" xr6:coauthVersionMax="47" xr10:uidLastSave="{00000000-0000-0000-0000-000000000000}"/>
  <bookViews>
    <workbookView xWindow="-19320" yWindow="855" windowWidth="19440" windowHeight="15000" xr2:uid="{00000000-000D-0000-FFFF-FFFF00000000}"/>
  </bookViews>
  <sheets>
    <sheet name="DSThuoc" sheetId="1" r:id="rId1"/>
    <sheet name="Sheet1" sheetId="2" r:id="rId2"/>
    <sheet name="Sheet2" sheetId="3" r:id="rId3"/>
  </sheets>
  <definedNames>
    <definedName name="_xlnm._FilterDatabase" localSheetId="0" hidden="1">DSThuoc!$A$2:$O$2</definedName>
  </definedNames>
  <calcPr calcId="191029"/>
</workbook>
</file>

<file path=xl/calcChain.xml><?xml version="1.0" encoding="utf-8"?>
<calcChain xmlns="http://schemas.openxmlformats.org/spreadsheetml/2006/main">
  <c r="N3" i="1" l="1"/>
  <c r="N2" i="1"/>
</calcChain>
</file>

<file path=xl/sharedStrings.xml><?xml version="1.0" encoding="utf-8"?>
<sst xmlns="http://schemas.openxmlformats.org/spreadsheetml/2006/main" count="54" uniqueCount="50">
  <si>
    <t>STT</t>
  </si>
  <si>
    <t>Mã
Nhóm Thuốc</t>
  </si>
  <si>
    <t>Tên
 Nhóm Thuốc</t>
  </si>
  <si>
    <t>ID Thuốc</t>
  </si>
  <si>
    <t>Mã Thuốc</t>
  </si>
  <si>
    <t>Tên Thuốc</t>
  </si>
  <si>
    <t>Tên
Khoa học</t>
  </si>
  <si>
    <t>Hoạt chất</t>
  </si>
  <si>
    <t>Nhà SX</t>
  </si>
  <si>
    <t>Đường dùng</t>
  </si>
  <si>
    <t>ĐVT</t>
  </si>
  <si>
    <t>Thuốc BHYT</t>
  </si>
  <si>
    <t>Qui cách</t>
  </si>
  <si>
    <t>DANH SÁCH THUỐC</t>
  </si>
  <si>
    <t>Nhóm thuốc</t>
  </si>
  <si>
    <t>Dạng dùng</t>
  </si>
  <si>
    <t>Đơn chất</t>
  </si>
  <si>
    <t>Nhiều
hoạt chất</t>
  </si>
  <si>
    <t>MyVita SPM</t>
  </si>
  <si>
    <t>Cadimin C 500 US Pharma</t>
  </si>
  <si>
    <t>Vastec 35 MR DHG</t>
  </si>
  <si>
    <t>THBVIT00060014</t>
  </si>
  <si>
    <t>THBVIT00060015</t>
  </si>
  <si>
    <t>THBTMA00020042</t>
  </si>
  <si>
    <t>Sifagen</t>
  </si>
  <si>
    <t>Lactacyd BB 60ml for baby</t>
  </si>
  <si>
    <t>THBKHU0001001</t>
  </si>
  <si>
    <t>THBDLI00060009</t>
  </si>
  <si>
    <t>Metronidazol 500mg DONGNAI</t>
  </si>
  <si>
    <t>Zinmax - Domesco</t>
  </si>
  <si>
    <t>THBTNI0001002</t>
  </si>
  <si>
    <t>THBKHU00020098</t>
  </si>
  <si>
    <t>Vintanil VINPHACO</t>
  </si>
  <si>
    <t>THBTKI00030013</t>
  </si>
  <si>
    <t>NHÓM CÁC LOẠI KHÁNG SINH KHÁC</t>
  </si>
  <si>
    <t>Levofloxacin 500mg</t>
  </si>
  <si>
    <t>Uống</t>
  </si>
  <si>
    <t>Viên</t>
  </si>
  <si>
    <t>x</t>
  </si>
  <si>
    <t>S.P.M - VN</t>
  </si>
  <si>
    <t>h/50 viên</t>
  </si>
  <si>
    <t>THBKHU00060049</t>
  </si>
  <si>
    <t>Levofloxacin SPM</t>
  </si>
  <si>
    <t>NHÓM THUỐC TIM</t>
  </si>
  <si>
    <t>Digoxin 0,25mg</t>
  </si>
  <si>
    <t>H/30 viên</t>
  </si>
  <si>
    <t>X</t>
  </si>
  <si>
    <t>Digorich</t>
  </si>
  <si>
    <t>USARICHPHARM - VN</t>
  </si>
  <si>
    <t>THBTMA00010034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</si>
</sst>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0"/>
      <color theme="1"/>
      <name val="Arial"/>
      <family val="2"/>
      <charset val="163"/>
    </font>
    <font>
      <b/>
      <i/>
      <sz val="10"/>
      <color theme="1"/>
      <name val="Arial"/>
      <family val="2"/>
      <charset val="163"/>
    </font>
    <font>
      <b/>
      <sz val="10"/>
      <color theme="1"/>
      <name val="Arial"/>
      <family val="2"/>
    </font>
    <font>
      <sz val="10"/>
      <color theme="1"/>
      <name val="Arial"/>
      <family val="2"/>
      <charset val="163"/>
    </font>
    <font>
      <i/>
      <sz val="10"/>
      <color theme="1"/>
      <name val="Arial"/>
      <family val="2"/>
      <charset val="163"/>
    </font>
    <font>
      <b/>
      <sz val="16"/>
      <color theme="1"/>
      <name val="Arial"/>
      <family val="2"/>
      <charset val="163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G1" zoomScaleNormal="100" workbookViewId="0">
      <selection activeCell="M14" sqref="M14"/>
    </sheetView>
  </sheetViews>
  <sheetFormatPr defaultColWidth="9.140625" defaultRowHeight="12.75" x14ac:dyDescent="0.2"/>
  <cols>
    <col min="1" max="1" width="4.42578125" style="8" customWidth="1"/>
    <col min="2" max="2" width="11.140625" style="8" bestFit="1" customWidth="1"/>
    <col min="3" max="3" width="41.28515625" style="8" bestFit="1" customWidth="1"/>
    <col min="4" max="4" width="10" style="8" customWidth="1"/>
    <col min="5" max="5" width="19.28515625" style="8" bestFit="1" customWidth="1"/>
    <col min="6" max="6" width="18.140625" style="9" customWidth="1"/>
    <col min="7" max="7" width="22.28515625" style="10" customWidth="1"/>
    <col min="8" max="8" width="16.85546875" style="8" bestFit="1" customWidth="1"/>
    <col min="9" max="9" width="19.7109375" style="8" bestFit="1" customWidth="1"/>
    <col min="10" max="10" width="16.7109375" style="8" bestFit="1" customWidth="1"/>
    <col min="11" max="11" width="9.140625" style="8" bestFit="1" customWidth="1"/>
    <col min="12" max="12" width="16.28515625" style="8" bestFit="1" customWidth="1"/>
    <col min="13" max="13" width="13.5703125" style="8" bestFit="1" customWidth="1"/>
    <col min="14" max="14" width="13.5703125" style="8" customWidth="1"/>
    <col min="15" max="15" width="16.42578125" style="8" bestFit="1" customWidth="1"/>
    <col min="16" max="16" width="10.85546875" style="8" bestFit="1" customWidth="1"/>
    <col min="17" max="17" width="9.140625" style="8"/>
    <col min="18" max="18" width="9.42578125" style="8" bestFit="1" customWidth="1"/>
    <col min="19" max="16384" width="9.140625" style="8"/>
  </cols>
  <sheetData>
    <row r="1" spans="1:21" ht="34.5" customHeight="1" x14ac:dyDescent="0.2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1" ht="51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4" t="str">
        <f>"INSERT INTO ""Thuoc""(""MaThuoc"",""TenThuoc"",""TenKhoaHoc"", ""HoatChat"",""NhaSX"",""DuongDung"",""DVT"", ""QuiCach"",""MaNT"",""NhomThuoc"",""DangDung"",""ThuocDonChat"")
 VALUES ('"&amp;E3&amp;"', N'"&amp;F3&amp;"', N'"&amp;G3&amp;"', N'"&amp;H3&amp;"', N'"&amp;I3&amp;"', N'"&amp;J3&amp;"', N'"&amp;K3&amp;"',N'" &amp;M3&amp;"',"&amp;B3&amp;","&amp;O3&amp;","&amp;P3&amp;","&amp;IF(Q3="x","true","false")&amp;");"</f>
        <v>INSERT INTO "Thuoc"("MaThuoc","TenThuoc","TenKhoaHoc", "HoatChat","NhaSX","DuongDung","DVT", "QuiCach","MaNT","NhomThuoc","DangDung","ThuocDonChat")
 VALUES ('THBKHU00060049', N'Levofloxacin SPM', N'Levofloxacin 500mg', N'Levofloxacin 500mg', N'S.P.M - VN', N'Uống', N'Viên',N'h/50 viên',18,1,3,true);</v>
      </c>
      <c r="O2" s="1" t="s">
        <v>14</v>
      </c>
      <c r="P2" s="3" t="s">
        <v>15</v>
      </c>
      <c r="Q2" s="3" t="s">
        <v>16</v>
      </c>
      <c r="R2" s="4" t="s">
        <v>17</v>
      </c>
    </row>
    <row r="3" spans="1:21" s="11" customFormat="1" ht="15.75" x14ac:dyDescent="0.25">
      <c r="A3" s="12">
        <v>1</v>
      </c>
      <c r="B3" s="12">
        <v>18</v>
      </c>
      <c r="C3" s="12" t="s">
        <v>34</v>
      </c>
      <c r="D3" s="12"/>
      <c r="E3" s="12" t="s">
        <v>41</v>
      </c>
      <c r="F3" s="12" t="s">
        <v>42</v>
      </c>
      <c r="G3" s="12" t="s">
        <v>35</v>
      </c>
      <c r="H3" s="12" t="s">
        <v>35</v>
      </c>
      <c r="I3" s="12" t="s">
        <v>39</v>
      </c>
      <c r="J3" s="12" t="s">
        <v>36</v>
      </c>
      <c r="K3" s="12" t="s">
        <v>37</v>
      </c>
      <c r="L3" s="12"/>
      <c r="M3" s="12" t="s">
        <v>40</v>
      </c>
      <c r="N3" s="14" t="str">
        <f>"INSERT INTO ""Thuoc""(""MaThuoc"",""TenThuoc"",""TenKhoaHoc"", ""HoatChat"",""NhaSX"",""DuongDung"",""DVT"", ""QuiCach"",""MaNT"",""NhomThuoc"",""DangDung"",""ThuocDonChat"")
 VALUES ('"&amp;E4&amp;"', N'"&amp;F4&amp;"', N'"&amp;G4&amp;"', N'"&amp;H4&amp;"', N'"&amp;I4&amp;"', N'"&amp;J4&amp;"', N'"&amp;K4&amp;"',N'" &amp;M4&amp;"',"&amp;B4&amp;","&amp;O4&amp;","&amp;P4&amp;","&amp;IF(Q4="x","true","false")&amp;");"</f>
        <v>INSERT INTO "Thuoc"("MaThuoc","TenThuoc","TenKhoaHoc", "HoatChat","NhaSX","DuongDung","DVT", "QuiCach","MaNT","NhomThuoc","DangDung","ThuocDonChat")
 VALUES ('THBTMA00010034', N'Digorich', N'Digoxin 0,25mg', N'Digoxin 0,25mg', N'USARICHPHARM - VN', N'Uống', N'Viên',N'H/30 viên',67,14,3,true);</v>
      </c>
      <c r="O3" s="12">
        <v>1</v>
      </c>
      <c r="P3" s="12">
        <v>3</v>
      </c>
      <c r="Q3" s="12" t="s">
        <v>38</v>
      </c>
      <c r="R3" s="12"/>
    </row>
    <row r="4" spans="1:21" s="11" customFormat="1" x14ac:dyDescent="0.2">
      <c r="A4" s="12">
        <v>1</v>
      </c>
      <c r="B4" s="12">
        <v>67</v>
      </c>
      <c r="C4" s="12" t="s">
        <v>43</v>
      </c>
      <c r="D4" s="12"/>
      <c r="E4" s="12" t="s">
        <v>49</v>
      </c>
      <c r="F4" s="12" t="s">
        <v>47</v>
      </c>
      <c r="G4" s="12" t="s">
        <v>44</v>
      </c>
      <c r="H4" s="12" t="s">
        <v>44</v>
      </c>
      <c r="I4" s="12" t="s">
        <v>48</v>
      </c>
      <c r="J4" s="12" t="s">
        <v>36</v>
      </c>
      <c r="K4" s="12" t="s">
        <v>37</v>
      </c>
      <c r="L4" s="12"/>
      <c r="M4" s="12" t="s">
        <v>45</v>
      </c>
      <c r="N4" s="12"/>
      <c r="O4" s="12">
        <v>14</v>
      </c>
      <c r="P4" s="12">
        <v>3</v>
      </c>
      <c r="Q4" s="12" t="s">
        <v>46</v>
      </c>
      <c r="R4" s="12"/>
    </row>
    <row r="10" spans="1:21" x14ac:dyDescent="0.2">
      <c r="U10" s="10"/>
    </row>
  </sheetData>
  <autoFilter ref="A2:O2" xr:uid="{00000000-0009-0000-0000-000000000000}"/>
  <mergeCells count="1">
    <mergeCell ref="A1:O1"/>
  </mergeCells>
  <phoneticPr fontId="1" type="noConversion"/>
  <conditionalFormatting sqref="C1:C1048576">
    <cfRule type="duplicateValues" dxfId="15" priority="71" stopIfTrue="1"/>
  </conditionalFormatting>
  <conditionalFormatting sqref="E1:E65496">
    <cfRule type="duplicateValues" dxfId="14" priority="173" stopIfTrue="1"/>
    <cfRule type="duplicateValues" dxfId="13" priority="174" stopIfTrue="1"/>
    <cfRule type="duplicateValues" dxfId="12" priority="175" stopIfTrue="1"/>
    <cfRule type="duplicateValues" dxfId="11" priority="176" stopIfTrue="1"/>
  </conditionalFormatting>
  <conditionalFormatting sqref="E1:E1048576">
    <cfRule type="duplicateValues" dxfId="10" priority="1"/>
    <cfRule type="duplicateValues" dxfId="9" priority="2"/>
    <cfRule type="duplicateValues" dxfId="8" priority="3"/>
    <cfRule type="duplicateValues" dxfId="7" priority="4"/>
  </conditionalFormatting>
  <conditionalFormatting sqref="F4:F65496 F1:F2">
    <cfRule type="duplicateValues" dxfId="6" priority="164" stopIfTrue="1"/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E19" sqref="E19"/>
    </sheetView>
  </sheetViews>
  <sheetFormatPr defaultRowHeight="12.75" x14ac:dyDescent="0.2"/>
  <cols>
    <col min="1" max="1" width="16.5703125" bestFit="1" customWidth="1"/>
    <col min="2" max="2" width="29" bestFit="1" customWidth="1"/>
  </cols>
  <sheetData>
    <row r="1" spans="1:2" x14ac:dyDescent="0.2">
      <c r="A1" s="5" t="s">
        <v>22</v>
      </c>
      <c r="B1" s="6" t="s">
        <v>18</v>
      </c>
    </row>
    <row r="2" spans="1:2" x14ac:dyDescent="0.2">
      <c r="A2" s="5" t="s">
        <v>21</v>
      </c>
      <c r="B2" s="6" t="s">
        <v>19</v>
      </c>
    </row>
    <row r="3" spans="1:2" x14ac:dyDescent="0.2">
      <c r="A3" s="5" t="s">
        <v>23</v>
      </c>
      <c r="B3" s="6" t="s">
        <v>20</v>
      </c>
    </row>
    <row r="4" spans="1:2" x14ac:dyDescent="0.2">
      <c r="A4" s="5" t="s">
        <v>26</v>
      </c>
      <c r="B4" s="6" t="s">
        <v>24</v>
      </c>
    </row>
    <row r="5" spans="1:2" x14ac:dyDescent="0.2">
      <c r="A5" s="5" t="s">
        <v>27</v>
      </c>
      <c r="B5" s="6" t="s">
        <v>25</v>
      </c>
    </row>
    <row r="6" spans="1:2" x14ac:dyDescent="0.2">
      <c r="A6" s="5" t="s">
        <v>30</v>
      </c>
      <c r="B6" s="6" t="s">
        <v>28</v>
      </c>
    </row>
    <row r="7" spans="1:2" x14ac:dyDescent="0.2">
      <c r="A7" s="5" t="s">
        <v>31</v>
      </c>
      <c r="B7" s="7" t="s">
        <v>29</v>
      </c>
    </row>
    <row r="8" spans="1:2" x14ac:dyDescent="0.2">
      <c r="A8" s="5" t="s">
        <v>33</v>
      </c>
      <c r="B8" s="6" t="s">
        <v>32</v>
      </c>
    </row>
  </sheetData>
  <conditionalFormatting sqref="A1:A8">
    <cfRule type="duplicateValues" dxfId="5" priority="2" stopIfTrue="1"/>
    <cfRule type="duplicateValues" dxfId="4" priority="3" stopIfTrue="1"/>
    <cfRule type="duplicateValues" dxfId="3" priority="4" stopIfTrue="1"/>
    <cfRule type="duplicateValues" dxfId="2" priority="6" stopIfTrue="1"/>
  </conditionalFormatting>
  <conditionalFormatting sqref="B1:B8">
    <cfRule type="duplicateValues" dxfId="1" priority="1" stopIfTrue="1"/>
  </conditionalFormatting>
  <conditionalFormatting sqref="B8 B1:B6">
    <cfRule type="duplicateValues" dxfId="0" priority="5" stopIfTrue="1"/>
  </conditionalFormatting>
  <pageMargins left="0.7" right="0.7" top="0.75" bottom="0.75" header="0.3" footer="0.3"/>
  <pageSetup paperSize="1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7377-D827-46C5-BE08-67FF02547776}">
  <dimension ref="A1"/>
  <sheetViews>
    <sheetView workbookViewId="0">
      <selection activeCell="I22" sqref="I22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DSThuoc</vt:lpstr>
      <vt:lpstr>Sheet1</vt:lpstr>
      <vt:lpstr>Sheet2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Mạnh Hồ Quốc</cp:lastModifiedBy>
  <cp:lastPrinted>2019-10-25T06:09:26Z</cp:lastPrinted>
  <dcterms:created xsi:type="dcterms:W3CDTF">2015-11-10T02:11:24Z</dcterms:created>
  <dcterms:modified xsi:type="dcterms:W3CDTF">2025-12-09T07:59:46Z</dcterms:modified>
</cp:coreProperties>
</file>